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/Desktop/equity-research-tool/"/>
    </mc:Choice>
  </mc:AlternateContent>
  <xr:revisionPtr revIDLastSave="0" documentId="8_{8642E7F8-0649-FF4C-844E-8048556BD22E}" xr6:coauthVersionLast="47" xr6:coauthVersionMax="47" xr10:uidLastSave="{00000000-0000-0000-0000-000000000000}"/>
  <bookViews>
    <workbookView xWindow="13180" yWindow="500" windowWidth="15620" windowHeight="16300" firstSheet="1" activeTab="5" xr2:uid="{1969C951-40F1-464C-968D-C99B0871CF28}"/>
  </bookViews>
  <sheets>
    <sheet name="income sheet tutorial" sheetId="7" r:id="rId1"/>
    <sheet name="Income Sheet" sheetId="1" r:id="rId2"/>
    <sheet name="Balance Sheet" sheetId="2" r:id="rId3"/>
    <sheet name="Cash Flow" sheetId="3" r:id="rId4"/>
    <sheet name="DCF" sheetId="4" r:id="rId5"/>
    <sheet name="Comps" sheetId="5" r:id="rId6"/>
    <sheet name="Assumption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5" l="1"/>
  <c r="G8" i="5"/>
  <c r="H8" i="5"/>
  <c r="I8" i="5"/>
  <c r="H7" i="5"/>
  <c r="I7" i="5"/>
  <c r="F8" i="5"/>
  <c r="F7" i="5"/>
  <c r="G7" i="5"/>
  <c r="B12" i="4"/>
  <c r="D9" i="4"/>
  <c r="D10" i="4" s="1"/>
  <c r="C9" i="4"/>
  <c r="C10" i="4" s="1"/>
  <c r="B9" i="4"/>
  <c r="B10" i="4"/>
  <c r="C8" i="4"/>
  <c r="D8" i="4"/>
  <c r="B8" i="4"/>
  <c r="D4" i="4"/>
  <c r="D5" i="4"/>
  <c r="D6" i="4"/>
  <c r="B6" i="4"/>
  <c r="C6" i="4"/>
  <c r="B2" i="4"/>
  <c r="C5" i="4"/>
  <c r="B5" i="4"/>
  <c r="D2" i="4"/>
  <c r="H2" i="1"/>
  <c r="H11" i="1" s="1"/>
  <c r="H8" i="1"/>
  <c r="H7" i="1"/>
  <c r="G2" i="1"/>
  <c r="G8" i="1" s="1"/>
  <c r="F4" i="1"/>
  <c r="E4" i="1"/>
  <c r="F12" i="1"/>
  <c r="F10" i="1" s="1"/>
  <c r="D4" i="1"/>
  <c r="D5" i="1" s="1"/>
  <c r="D12" i="1"/>
  <c r="D10" i="1" s="1"/>
  <c r="E12" i="1"/>
  <c r="E10" i="1" s="1"/>
  <c r="E5" i="1"/>
  <c r="B13" i="4" l="1"/>
  <c r="B14" i="4"/>
  <c r="B15" i="4" s="1"/>
  <c r="B17" i="4" s="1"/>
  <c r="B19" i="4" s="1"/>
  <c r="F1" i="4" s="1"/>
  <c r="B4" i="4"/>
  <c r="G3" i="1"/>
  <c r="G4" i="1"/>
  <c r="G11" i="1"/>
  <c r="G6" i="1"/>
  <c r="G7" i="1"/>
  <c r="F5" i="1"/>
  <c r="H6" i="1" l="1"/>
  <c r="H9" i="1" s="1"/>
  <c r="G9" i="1"/>
  <c r="G5" i="1"/>
  <c r="G12" i="1"/>
  <c r="H3" i="1"/>
  <c r="H4" i="1" s="1"/>
  <c r="H5" i="1" l="1"/>
  <c r="H12" i="1"/>
  <c r="G13" i="1"/>
  <c r="G14" i="1" s="1"/>
  <c r="G15" i="1" s="1"/>
  <c r="G16" i="1" s="1"/>
  <c r="G10" i="1"/>
  <c r="H13" i="1" l="1"/>
  <c r="H10" i="1"/>
  <c r="C2" i="4"/>
  <c r="C4" i="4" s="1"/>
  <c r="H14" i="1" l="1"/>
  <c r="H15" i="1" s="1"/>
  <c r="H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tc={7CB37FAF-2136-CE41-9C92-3FA45EFDB922}</author>
    <author>tc={983FEADB-6A85-7442-9918-92D7BBED1673}</author>
    <author>tc={1F479819-BD11-E24D-A9B1-2B0CFD3FB0F0}</author>
    <author>tc={B7FCEBF7-5744-5A49-AD2F-F1E322DE7C01}</author>
  </authors>
  <commentList>
    <comment ref="G1" authorId="0" shapeId="0" xr:uid="{7CB37FAF-2136-CE41-9C92-3FA45EFDB9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the WACC columns
</t>
      </text>
    </comment>
    <comment ref="F2" authorId="1" shapeId="0" xr:uid="{983FEADB-6A85-7442-9918-92D7BBED167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terminal growth rate</t>
      </text>
    </comment>
    <comment ref="K2" authorId="2" shapeId="0" xr:uid="{1F479819-BD11-E24D-A9B1-2B0CFD3FB0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Bear case: pessimistic (retreating) </t>
      </text>
    </comment>
    <comment ref="G5" authorId="3" shapeId="0" xr:uid="{B7FCEBF7-5744-5A49-AD2F-F1E322DE7C01}">
      <text>
        <t>[Threaded comment]
Your version of Excel allows you to read this threaded comment; however, any edits to it will get removed if the file is opened in a newer version of Excel. Learn more: https://go.microsoft.com/fwlink/?linkid=870924
Comment:
    Bull case: optimistic, bull charging forward (lower waccc = lower risk and higher terminal growth rate = more optimstic about the future, basically you think stocks are going up</t>
      </text>
    </comment>
  </commentList>
</comments>
</file>

<file path=xl/sharedStrings.xml><?xml version="1.0" encoding="utf-8"?>
<sst xmlns="http://schemas.openxmlformats.org/spreadsheetml/2006/main" count="75" uniqueCount="68">
  <si>
    <t>Revenue Growth Y1</t>
  </si>
  <si>
    <t>Revenue Growth Y2</t>
  </si>
  <si>
    <t>Revenue Growth Y3</t>
  </si>
  <si>
    <t>Gross Margin</t>
  </si>
  <si>
    <t>EBITDA Margin</t>
  </si>
  <si>
    <t>WACC</t>
  </si>
  <si>
    <t>Terminal Growth Rate</t>
  </si>
  <si>
    <t>FY 2021</t>
  </si>
  <si>
    <t>FY 2022</t>
  </si>
  <si>
    <t>FY 2023</t>
  </si>
  <si>
    <t>FY 2024</t>
  </si>
  <si>
    <t>FY 2025</t>
  </si>
  <si>
    <t>FY 2026E</t>
  </si>
  <si>
    <t>FY 2027E</t>
  </si>
  <si>
    <t>Cost of Revenue</t>
  </si>
  <si>
    <t>Gross Profit</t>
  </si>
  <si>
    <t>Gross Margin %</t>
  </si>
  <si>
    <t>S&amp;M Expense</t>
  </si>
  <si>
    <t>G&amp;A Expense</t>
  </si>
  <si>
    <t>Total OpEx</t>
  </si>
  <si>
    <t>EBITDA</t>
  </si>
  <si>
    <t>D&amp;A</t>
  </si>
  <si>
    <t>EBIT</t>
  </si>
  <si>
    <t>Pre-tax Income</t>
  </si>
  <si>
    <t>Tax</t>
  </si>
  <si>
    <t>Net Income</t>
  </si>
  <si>
    <t>EPS</t>
  </si>
  <si>
    <t>Revenue (thousands)</t>
  </si>
  <si>
    <t>R&amp;D Expense</t>
  </si>
  <si>
    <t xml:space="preserve">                              </t>
  </si>
  <si>
    <t xml:space="preserve">                                            </t>
  </si>
  <si>
    <t>Tax Rate</t>
  </si>
  <si>
    <t>NOPAT</t>
  </si>
  <si>
    <t>CapEx</t>
  </si>
  <si>
    <t>Change in Working Capital</t>
  </si>
  <si>
    <t>Free Cash Flow</t>
  </si>
  <si>
    <t>Discount Factor</t>
  </si>
  <si>
    <t>PV of FCF</t>
  </si>
  <si>
    <t>PV of Terminal Value</t>
  </si>
  <si>
    <t>Sum of PV FCFs</t>
  </si>
  <si>
    <t>Enterprise Value</t>
  </si>
  <si>
    <t>Less: Net Debt</t>
  </si>
  <si>
    <t>Equity Value</t>
  </si>
  <si>
    <t>Shares Outstanding</t>
  </si>
  <si>
    <t>Implied Share Price</t>
  </si>
  <si>
    <t>FY 2028E</t>
  </si>
  <si>
    <t>Terminal Value</t>
  </si>
  <si>
    <t>Company</t>
  </si>
  <si>
    <t>Ticker</t>
  </si>
  <si>
    <t>Market Cap</t>
  </si>
  <si>
    <t>Revenue(NTM)</t>
  </si>
  <si>
    <t>EV/Revenue</t>
  </si>
  <si>
    <t>EV/EBITDA</t>
  </si>
  <si>
    <t>P/E</t>
  </si>
  <si>
    <t>Revenue Growth %</t>
  </si>
  <si>
    <t>Duolingo</t>
  </si>
  <si>
    <t>DUOL</t>
  </si>
  <si>
    <t>Coursera</t>
  </si>
  <si>
    <t>COUR</t>
  </si>
  <si>
    <t>Snap</t>
  </si>
  <si>
    <t>Pinterest</t>
  </si>
  <si>
    <t>SNAP</t>
  </si>
  <si>
    <t>PINS</t>
  </si>
  <si>
    <t>Enterpise Value (EV)</t>
  </si>
  <si>
    <t>Spotify</t>
  </si>
  <si>
    <t>SPOT</t>
  </si>
  <si>
    <t>n/a</t>
  </si>
  <si>
    <t>Comps-Implied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</si>
</sst>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9" fontId="0" fillId="0" borderId="0" xfId="1" applyFont="1"/>
    <xf numFmtId="0" fontId="0" fillId="0" borderId="1" xfId="0" applyBorder="1"/>
    <xf numFmtId="164" fontId="0" fillId="0" borderId="0" xfId="2" applyNumberFormat="1" applyFont="1"/>
    <xf numFmtId="3" fontId="0" fillId="0" borderId="0" xfId="0" applyNumberFormat="1"/>
    <xf numFmtId="164" fontId="0" fillId="0" borderId="0" xfId="0" applyNumberFormat="1"/>
    <xf numFmtId="43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2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Guan" id="{4FBD6ED3-B24D-F54B-8306-264C87D07C6E}" userId="S::alg8517@nyu.edu::bf337059-6b5e-46ab-8529-a3e9f4c065f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6-23T22:44:14.46" personId="{4FBD6ED3-B24D-F54B-8306-264C87D07C6E}" id="{7CB37FAF-2136-CE41-9C92-3FA45EFDB922}">
    <text xml:space="preserve">This is the WACC columns
</text>
  </threadedComment>
  <threadedComment ref="F2" dT="2026-06-23T22:44:39.47" personId="{4FBD6ED3-B24D-F54B-8306-264C87D07C6E}" id="{983FEADB-6A85-7442-9918-92D7BBED1673}">
    <text>This is the terminal growth rate</text>
  </threadedComment>
  <threadedComment ref="K2" dT="2026-06-23T22:49:30.41" personId="{4FBD6ED3-B24D-F54B-8306-264C87D07C6E}" id="{1F479819-BD11-E24D-A9B1-2B0CFD3FB0F0}">
    <text xml:space="preserve">Bear case: pessimistic (retreating) </text>
  </threadedComment>
  <threadedComment ref="G5" dT="2026-06-23T22:50:15.69" personId="{4FBD6ED3-B24D-F54B-8306-264C87D07C6E}" id="{B7FCEBF7-5744-5A49-AD2F-F1E322DE7C01}">
    <text>Bull case: optimistic, bull charging forward (lower waccc = lower risk and higher terminal growth rate = more optimstic about the future, basically you think stocks are going up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C652-2684-E644-863D-38647427F637}">
  <dimension ref="E6"/>
  <sheetViews>
    <sheetView workbookViewId="0">
      <selection activeCell="E6" sqref="E6"/>
    </sheetView>
  </sheetViews>
  <sheetFormatPr baseColWidth="10" defaultRowHeight="16" x14ac:dyDescent="0.2"/>
  <sheetData>
    <row r="6" spans="5:5" x14ac:dyDescent="0.2">
      <c r="E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7C30-0188-3942-BAC1-7EB2C268AF39}">
  <dimension ref="A1:J26"/>
  <sheetViews>
    <sheetView workbookViewId="0">
      <selection activeCell="G10" sqref="G10"/>
    </sheetView>
  </sheetViews>
  <sheetFormatPr baseColWidth="10" defaultRowHeight="16" x14ac:dyDescent="0.2"/>
  <cols>
    <col min="4" max="5" width="11.5" customWidth="1"/>
    <col min="6" max="6" width="13" customWidth="1"/>
    <col min="7" max="7" width="11.5" customWidth="1"/>
    <col min="8" max="8" width="13" customWidth="1"/>
  </cols>
  <sheetData>
    <row r="1" spans="1:8" x14ac:dyDescent="0.2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">
      <c r="A2" t="s">
        <v>27</v>
      </c>
      <c r="D2" s="4">
        <v>531109</v>
      </c>
      <c r="E2" s="4">
        <v>748024</v>
      </c>
      <c r="F2" s="4">
        <v>1037589</v>
      </c>
      <c r="G2" s="6">
        <f>F2*(1+Assumptions!B2)</f>
        <v>1328113.92</v>
      </c>
      <c r="H2" s="7">
        <f>G2*(1+Assumptions!B3)</f>
        <v>1620298.9823999999</v>
      </c>
    </row>
    <row r="3" spans="1:8" x14ac:dyDescent="0.2">
      <c r="A3" t="s">
        <v>14</v>
      </c>
      <c r="D3" s="4">
        <v>142105</v>
      </c>
      <c r="E3" s="4">
        <v>203645</v>
      </c>
      <c r="F3" s="4">
        <v>288132</v>
      </c>
      <c r="G3" s="6">
        <f>F3/F2*G2</f>
        <v>368808.95999999996</v>
      </c>
      <c r="H3" s="6">
        <f>G3/G2*H2</f>
        <v>449946.93119999993</v>
      </c>
    </row>
    <row r="4" spans="1:8" x14ac:dyDescent="0.2">
      <c r="A4" t="s">
        <v>15</v>
      </c>
      <c r="D4" s="4">
        <f>D2-D3</f>
        <v>389004</v>
      </c>
      <c r="E4" s="4">
        <f t="shared" ref="E4" si="0">E2-E3</f>
        <v>544379</v>
      </c>
      <c r="F4" s="4">
        <f>F2-F3</f>
        <v>749457</v>
      </c>
      <c r="G4" s="6">
        <f>G2-G3</f>
        <v>959304.96</v>
      </c>
      <c r="H4" s="6">
        <f>H2-H3</f>
        <v>1170352.0511999999</v>
      </c>
    </row>
    <row r="5" spans="1:8" x14ac:dyDescent="0.2">
      <c r="A5" t="s">
        <v>16</v>
      </c>
      <c r="D5" s="2">
        <f>D4/D2</f>
        <v>0.7324372209847696</v>
      </c>
      <c r="E5" s="2">
        <f>E4/E2</f>
        <v>0.72775606130284587</v>
      </c>
      <c r="F5" s="2">
        <f>F4/F2</f>
        <v>0.7223062310799363</v>
      </c>
      <c r="G5" s="2">
        <f>G4/G2</f>
        <v>0.7223062310799363</v>
      </c>
      <c r="H5" s="2">
        <f>H4/H2</f>
        <v>0.7223062310799363</v>
      </c>
    </row>
    <row r="6" spans="1:8" x14ac:dyDescent="0.2">
      <c r="A6" t="s">
        <v>28</v>
      </c>
      <c r="D6" s="4">
        <v>194352</v>
      </c>
      <c r="E6" s="4">
        <v>235298</v>
      </c>
      <c r="F6" s="4">
        <v>306323</v>
      </c>
      <c r="G6" s="6">
        <f>F6/F2*G2</f>
        <v>392093.44</v>
      </c>
      <c r="H6" s="6">
        <f>G6/G2*H2</f>
        <v>478353.99679999996</v>
      </c>
    </row>
    <row r="7" spans="1:8" x14ac:dyDescent="0.2">
      <c r="A7" t="s">
        <v>17</v>
      </c>
      <c r="D7" s="4">
        <v>75788</v>
      </c>
      <c r="E7" s="4">
        <v>90494</v>
      </c>
      <c r="F7" s="4">
        <v>125677</v>
      </c>
      <c r="G7" s="6">
        <f>F7/F2*G2</f>
        <v>160866.56</v>
      </c>
      <c r="H7" s="6">
        <f>G7/G2*H2</f>
        <v>196257.20319999999</v>
      </c>
    </row>
    <row r="8" spans="1:8" x14ac:dyDescent="0.2">
      <c r="A8" t="s">
        <v>18</v>
      </c>
      <c r="D8" s="4">
        <v>132123</v>
      </c>
      <c r="E8" s="4">
        <v>155992</v>
      </c>
      <c r="F8" s="4">
        <v>181887</v>
      </c>
      <c r="G8" s="6">
        <f>F8/F2*G2</f>
        <v>232815.35999999999</v>
      </c>
      <c r="H8" s="6">
        <f>G8/G2*H2</f>
        <v>284034.73919999995</v>
      </c>
    </row>
    <row r="9" spans="1:8" x14ac:dyDescent="0.2">
      <c r="A9" t="s">
        <v>19</v>
      </c>
      <c r="D9" s="4">
        <v>402263</v>
      </c>
      <c r="E9" s="4">
        <v>481784</v>
      </c>
      <c r="F9" s="4">
        <v>613887</v>
      </c>
      <c r="G9" s="6">
        <f>G6+G7+G8</f>
        <v>785775.36</v>
      </c>
      <c r="H9" s="6">
        <f>H6+H7+H8</f>
        <v>958645.93919999991</v>
      </c>
    </row>
    <row r="10" spans="1:8" x14ac:dyDescent="0.2">
      <c r="A10" t="s">
        <v>20</v>
      </c>
      <c r="D10" s="5">
        <f>D12+D11</f>
        <v>-6164</v>
      </c>
      <c r="E10" s="4">
        <f>E12+E11</f>
        <v>73449</v>
      </c>
      <c r="F10" s="4">
        <f t="shared" ref="F10" si="1">F12+F11</f>
        <v>149961</v>
      </c>
      <c r="G10" s="6">
        <f>G12+G11</f>
        <v>191950.07999999999</v>
      </c>
      <c r="H10" s="6">
        <f>H12+H11</f>
        <v>234179.09759999995</v>
      </c>
    </row>
    <row r="11" spans="1:8" x14ac:dyDescent="0.2">
      <c r="A11" t="s">
        <v>21</v>
      </c>
      <c r="D11" s="5">
        <v>7095</v>
      </c>
      <c r="E11" s="4">
        <v>10854</v>
      </c>
      <c r="F11" s="4">
        <v>14391</v>
      </c>
      <c r="G11" s="6">
        <f>F11/F2*G2</f>
        <v>18420.48</v>
      </c>
      <c r="H11" s="6">
        <f>G11/G2*H2</f>
        <v>22472.985599999996</v>
      </c>
    </row>
    <row r="12" spans="1:8" x14ac:dyDescent="0.2">
      <c r="A12" t="s">
        <v>22</v>
      </c>
      <c r="D12">
        <f>D4-D9</f>
        <v>-13259</v>
      </c>
      <c r="E12" s="4">
        <f>E4-E9</f>
        <v>62595</v>
      </c>
      <c r="F12" s="4">
        <f>F4-F9</f>
        <v>135570</v>
      </c>
      <c r="G12" s="6">
        <f>G4-G9</f>
        <v>173529.59999999998</v>
      </c>
      <c r="H12" s="6">
        <f>H4-H9</f>
        <v>211706.11199999996</v>
      </c>
    </row>
    <row r="13" spans="1:8" x14ac:dyDescent="0.2">
      <c r="A13" t="s">
        <v>23</v>
      </c>
      <c r="D13" s="4">
        <v>17777</v>
      </c>
      <c r="E13" s="4">
        <v>102306</v>
      </c>
      <c r="F13" s="4">
        <v>182410</v>
      </c>
      <c r="G13" s="6">
        <f>G12+(F13-F12)</f>
        <v>220369.59999999998</v>
      </c>
      <c r="H13" s="6">
        <f>H12+(G13-G12)</f>
        <v>258546.11199999996</v>
      </c>
    </row>
    <row r="14" spans="1:8" x14ac:dyDescent="0.2">
      <c r="A14" t="s">
        <v>24</v>
      </c>
      <c r="D14" s="4">
        <v>2169</v>
      </c>
      <c r="E14" s="4">
        <v>13732</v>
      </c>
      <c r="F14">
        <v>-231655</v>
      </c>
      <c r="G14" s="4">
        <f>G13*0.21</f>
        <v>46277.615999999995</v>
      </c>
      <c r="H14" s="4">
        <f>H13*0.21</f>
        <v>54294.683519999991</v>
      </c>
    </row>
    <row r="15" spans="1:8" x14ac:dyDescent="0.2">
      <c r="A15" t="s">
        <v>25</v>
      </c>
      <c r="D15" s="4">
        <v>16067</v>
      </c>
      <c r="E15" s="4">
        <v>88574</v>
      </c>
      <c r="F15" s="4">
        <v>414065</v>
      </c>
      <c r="G15" s="4">
        <f>G13-G14</f>
        <v>174091.984</v>
      </c>
      <c r="H15" s="4">
        <f>H13-H14</f>
        <v>204251.42847999997</v>
      </c>
    </row>
    <row r="16" spans="1:8" x14ac:dyDescent="0.2">
      <c r="A16" t="s">
        <v>26</v>
      </c>
      <c r="D16">
        <v>0.35</v>
      </c>
      <c r="E16">
        <v>1.88</v>
      </c>
      <c r="F16">
        <v>8.57</v>
      </c>
      <c r="G16" s="7">
        <f>G15/46000</f>
        <v>3.784608347826087</v>
      </c>
      <c r="H16" s="7">
        <f>H15/46000</f>
        <v>4.4402484452173905</v>
      </c>
    </row>
    <row r="23" spans="10:10" x14ac:dyDescent="0.2">
      <c r="J23" t="s">
        <v>30</v>
      </c>
    </row>
    <row r="26" spans="10:10" x14ac:dyDescent="0.2">
      <c r="J26" t="s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3A58-EDFC-F84F-9D0A-CF24E28D772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4895-F3CB-5645-A6A0-487CB72ADE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6A97-FF32-0F40-B71B-A8F3D5699F5A}">
  <dimension ref="A1:K19"/>
  <sheetViews>
    <sheetView workbookViewId="0">
      <selection activeCell="G5" sqref="G5"/>
    </sheetView>
  </sheetViews>
  <sheetFormatPr baseColWidth="10" defaultRowHeight="16" x14ac:dyDescent="0.2"/>
  <sheetData>
    <row r="1" spans="1:11" x14ac:dyDescent="0.2">
      <c r="B1" t="s">
        <v>12</v>
      </c>
      <c r="C1" t="s">
        <v>13</v>
      </c>
      <c r="D1" t="s">
        <v>45</v>
      </c>
      <c r="F1">
        <f>B19</f>
        <v>72.417382336427494</v>
      </c>
      <c r="G1">
        <v>0.08</v>
      </c>
      <c r="H1">
        <v>0.09</v>
      </c>
      <c r="I1">
        <v>0.1</v>
      </c>
      <c r="J1">
        <v>0.11</v>
      </c>
      <c r="K1">
        <v>0.12</v>
      </c>
    </row>
    <row r="2" spans="1:11" x14ac:dyDescent="0.2">
      <c r="A2" t="s">
        <v>22</v>
      </c>
      <c r="B2">
        <f>'Income Sheet'!G12</f>
        <v>173529.59999999998</v>
      </c>
      <c r="C2">
        <f>'Income Sheet'!H12</f>
        <v>211706.11199999996</v>
      </c>
      <c r="D2">
        <f>C2*(1.18)</f>
        <v>249813.21215999994</v>
      </c>
      <c r="F2">
        <v>0.02</v>
      </c>
      <c r="G2">
        <f t="dataTable" ref="G2:K5" dt2D="1" dtr="1" r1="F7" r2="F8"/>
        <v>85.898982533033546</v>
      </c>
      <c r="H2">
        <v>76.588822201463756</v>
      </c>
      <c r="I2">
        <v>69.610232079465561</v>
      </c>
      <c r="J2">
        <v>64.185902183803677</v>
      </c>
      <c r="K2">
        <v>59.84945111455955</v>
      </c>
    </row>
    <row r="3" spans="1:11" x14ac:dyDescent="0.2">
      <c r="A3" t="s">
        <v>31</v>
      </c>
      <c r="B3" s="8">
        <v>0.21</v>
      </c>
      <c r="C3" s="8">
        <v>0.21</v>
      </c>
      <c r="D3" s="8">
        <v>0.21</v>
      </c>
      <c r="F3" s="9">
        <v>2.5000000000000001E-2</v>
      </c>
      <c r="G3">
        <v>91.193676090403471</v>
      </c>
      <c r="H3">
        <v>80.358792144339347</v>
      </c>
      <c r="I3">
        <v>72.417382336427494</v>
      </c>
      <c r="J3">
        <v>66.348097327070292</v>
      </c>
      <c r="K3">
        <v>61.559634290038169</v>
      </c>
    </row>
    <row r="4" spans="1:11" x14ac:dyDescent="0.2">
      <c r="A4" t="s">
        <v>32</v>
      </c>
      <c r="B4">
        <f>B2*(1-B3)</f>
        <v>137088.38399999999</v>
      </c>
      <c r="C4">
        <f t="shared" ref="C4" si="0">C2*(1-C3)</f>
        <v>167247.82847999997</v>
      </c>
      <c r="D4">
        <f>D2*(1-D3)</f>
        <v>197352.43760639997</v>
      </c>
      <c r="F4">
        <v>0.03</v>
      </c>
      <c r="G4">
        <v>97.54730835924741</v>
      </c>
      <c r="H4">
        <v>84.757090411027548</v>
      </c>
      <c r="I4">
        <v>75.625554058669735</v>
      </c>
      <c r="J4">
        <v>68.780566863245227</v>
      </c>
      <c r="K4">
        <v>63.459837818347765</v>
      </c>
    </row>
    <row r="5" spans="1:11" x14ac:dyDescent="0.2">
      <c r="A5" t="s">
        <v>21</v>
      </c>
      <c r="B5">
        <f>'Income Sheet'!G11</f>
        <v>18420.48</v>
      </c>
      <c r="C5">
        <f>'Income Sheet'!H11</f>
        <v>22472.985599999996</v>
      </c>
      <c r="D5">
        <f>C5*1.18</f>
        <v>26518.123007999995</v>
      </c>
      <c r="F5">
        <v>3.5000000000000003E-2</v>
      </c>
      <c r="G5">
        <v>105.31285891005665</v>
      </c>
      <c r="H5">
        <v>89.955079271659073</v>
      </c>
      <c r="I5">
        <v>79.327290661256924</v>
      </c>
      <c r="J5">
        <v>71.537365670910162</v>
      </c>
      <c r="K5">
        <v>65.583594702929076</v>
      </c>
    </row>
    <row r="6" spans="1:11" x14ac:dyDescent="0.2">
      <c r="A6" t="s">
        <v>33</v>
      </c>
      <c r="B6">
        <f>'Income Sheet'!G2*0.017</f>
        <v>22577.93664</v>
      </c>
      <c r="C6">
        <f>'Income Sheet'!H2*0.017</f>
        <v>27545.082700799998</v>
      </c>
      <c r="D6">
        <f xml:space="preserve"> C6*1.18</f>
        <v>32503.197586943996</v>
      </c>
    </row>
    <row r="7" spans="1:11" x14ac:dyDescent="0.2">
      <c r="A7" t="s">
        <v>34</v>
      </c>
      <c r="B7">
        <v>0</v>
      </c>
      <c r="C7">
        <v>0</v>
      </c>
      <c r="D7">
        <v>0</v>
      </c>
      <c r="F7">
        <v>0.1</v>
      </c>
    </row>
    <row r="8" spans="1:11" x14ac:dyDescent="0.2">
      <c r="A8" t="s">
        <v>35</v>
      </c>
      <c r="B8">
        <f>B4+B5-B6-B7</f>
        <v>132930.92736</v>
      </c>
      <c r="C8">
        <f t="shared" ref="C8:D8" si="1">C4+C5-C6-C7</f>
        <v>162175.73137919995</v>
      </c>
      <c r="D8">
        <f t="shared" si="1"/>
        <v>191367.36302745595</v>
      </c>
      <c r="F8">
        <v>2.5000000000000001E-2</v>
      </c>
    </row>
    <row r="9" spans="1:11" x14ac:dyDescent="0.2">
      <c r="A9" t="s">
        <v>36</v>
      </c>
      <c r="B9">
        <f>1/(1+$F$7)^1</f>
        <v>0.90909090909090906</v>
      </c>
      <c r="C9">
        <f>1/(1+$F$7)^2</f>
        <v>0.82644628099173545</v>
      </c>
      <c r="D9">
        <f>1/(1+$F$7)^3</f>
        <v>0.75131480090157754</v>
      </c>
    </row>
    <row r="10" spans="1:11" x14ac:dyDescent="0.2">
      <c r="A10" t="s">
        <v>37</v>
      </c>
      <c r="B10">
        <f xml:space="preserve"> B8*B9</f>
        <v>120846.29759999999</v>
      </c>
      <c r="C10">
        <f t="shared" ref="C10:D10" si="2" xml:space="preserve"> C8*C9</f>
        <v>134029.53006545448</v>
      </c>
      <c r="D10">
        <f t="shared" si="2"/>
        <v>143777.13225203298</v>
      </c>
    </row>
    <row r="12" spans="1:11" x14ac:dyDescent="0.2">
      <c r="A12" t="s">
        <v>46</v>
      </c>
      <c r="B12">
        <f>(D8*(1+$F$8))/($F$7-$F$8)</f>
        <v>2615353.9613752309</v>
      </c>
    </row>
    <row r="13" spans="1:11" x14ac:dyDescent="0.2">
      <c r="A13" t="s">
        <v>38</v>
      </c>
      <c r="B13">
        <f>B12*D9</f>
        <v>1964954.1407777837</v>
      </c>
    </row>
    <row r="14" spans="1:11" x14ac:dyDescent="0.2">
      <c r="A14" t="s">
        <v>39</v>
      </c>
      <c r="B14">
        <f>B10+C10+D10</f>
        <v>398652.95991748746</v>
      </c>
    </row>
    <row r="15" spans="1:11" x14ac:dyDescent="0.2">
      <c r="A15" t="s">
        <v>40</v>
      </c>
      <c r="B15">
        <f>B13+B14</f>
        <v>2363607.100695271</v>
      </c>
    </row>
    <row r="16" spans="1:11" x14ac:dyDescent="0.2">
      <c r="A16" t="s">
        <v>41</v>
      </c>
      <c r="B16">
        <v>-1036389</v>
      </c>
    </row>
    <row r="17" spans="1:2" x14ac:dyDescent="0.2">
      <c r="A17" t="s">
        <v>42</v>
      </c>
      <c r="B17">
        <f>B15-B16</f>
        <v>3399996.100695271</v>
      </c>
    </row>
    <row r="18" spans="1:2" x14ac:dyDescent="0.2">
      <c r="A18" t="s">
        <v>43</v>
      </c>
      <c r="B18">
        <v>46950</v>
      </c>
    </row>
    <row r="19" spans="1:2" x14ac:dyDescent="0.2">
      <c r="A19" t="s">
        <v>44</v>
      </c>
      <c r="B19">
        <f>B17/B18</f>
        <v>72.417382336427494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F7BF-9A6A-F14F-BFE7-056032D0E4D6}">
  <dimension ref="A1:I11"/>
  <sheetViews>
    <sheetView tabSelected="1" workbookViewId="0">
      <selection activeCell="A11" sqref="A11"/>
    </sheetView>
  </sheetViews>
  <sheetFormatPr baseColWidth="10" defaultRowHeight="16" x14ac:dyDescent="0.2"/>
  <sheetData>
    <row r="1" spans="1:9" x14ac:dyDescent="0.2">
      <c r="A1" t="s">
        <v>47</v>
      </c>
      <c r="B1" t="s">
        <v>48</v>
      </c>
      <c r="C1" t="s">
        <v>49</v>
      </c>
      <c r="D1" t="s">
        <v>63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x14ac:dyDescent="0.2">
      <c r="A2" t="s">
        <v>55</v>
      </c>
      <c r="B2" t="s">
        <v>56</v>
      </c>
      <c r="C2">
        <v>6.16</v>
      </c>
      <c r="D2">
        <v>5</v>
      </c>
      <c r="E2">
        <v>1.1000000000000001</v>
      </c>
      <c r="F2">
        <v>4.55</v>
      </c>
      <c r="G2">
        <v>28.17</v>
      </c>
      <c r="H2">
        <v>15.14</v>
      </c>
      <c r="I2" s="8">
        <v>0.39</v>
      </c>
    </row>
    <row r="3" spans="1:9" x14ac:dyDescent="0.2">
      <c r="A3" t="s">
        <v>64</v>
      </c>
      <c r="B3" t="s">
        <v>65</v>
      </c>
      <c r="C3">
        <v>93.66</v>
      </c>
      <c r="D3">
        <v>86.85</v>
      </c>
      <c r="E3">
        <v>20.21</v>
      </c>
      <c r="F3">
        <v>4.3</v>
      </c>
      <c r="G3">
        <v>30.8</v>
      </c>
      <c r="H3">
        <v>30.66</v>
      </c>
      <c r="I3" s="10">
        <v>9.6500000000000002E-2</v>
      </c>
    </row>
    <row r="4" spans="1:9" x14ac:dyDescent="0.2">
      <c r="A4" t="s">
        <v>57</v>
      </c>
      <c r="B4" t="s">
        <v>58</v>
      </c>
      <c r="C4">
        <v>1.74</v>
      </c>
      <c r="D4">
        <v>0.95799999999999996</v>
      </c>
      <c r="E4">
        <v>0.77390000000000003</v>
      </c>
      <c r="F4">
        <v>1.24</v>
      </c>
      <c r="G4" t="s">
        <v>66</v>
      </c>
      <c r="H4" t="s">
        <v>66</v>
      </c>
      <c r="I4" s="10">
        <v>9.0399999999999994E-2</v>
      </c>
    </row>
    <row r="5" spans="1:9" x14ac:dyDescent="0.2">
      <c r="A5" t="s">
        <v>59</v>
      </c>
      <c r="B5" t="s">
        <v>61</v>
      </c>
      <c r="C5">
        <v>7.51</v>
      </c>
      <c r="D5">
        <v>8.89</v>
      </c>
      <c r="E5">
        <v>6.1</v>
      </c>
      <c r="F5">
        <v>1.46</v>
      </c>
      <c r="G5" t="s">
        <v>66</v>
      </c>
      <c r="H5" t="s">
        <v>66</v>
      </c>
      <c r="I5" s="10">
        <v>0.1026</v>
      </c>
    </row>
    <row r="6" spans="1:9" x14ac:dyDescent="0.2">
      <c r="A6" t="s">
        <v>60</v>
      </c>
      <c r="B6" t="s">
        <v>62</v>
      </c>
      <c r="C6">
        <v>11.12</v>
      </c>
      <c r="D6">
        <v>11.11</v>
      </c>
      <c r="E6">
        <v>4.37</v>
      </c>
      <c r="F6">
        <v>2.54</v>
      </c>
      <c r="G6">
        <v>31.83</v>
      </c>
      <c r="H6">
        <v>39.42</v>
      </c>
      <c r="I6" s="10">
        <v>0.16300000000000001</v>
      </c>
    </row>
    <row r="7" spans="1:9" x14ac:dyDescent="0.2">
      <c r="F7">
        <f>MEDIAN(F2:F6)</f>
        <v>2.54</v>
      </c>
      <c r="G7">
        <f>MEDIAN(G2:G6)</f>
        <v>30.8</v>
      </c>
      <c r="H7">
        <f t="shared" ref="H7:I7" si="0">MEDIAN(H2:H6)</f>
        <v>30.66</v>
      </c>
      <c r="I7" s="2">
        <f t="shared" si="0"/>
        <v>0.1026</v>
      </c>
    </row>
    <row r="8" spans="1:9" x14ac:dyDescent="0.2">
      <c r="F8">
        <f>AVERAGE(F2:F6)</f>
        <v>2.8180000000000001</v>
      </c>
      <c r="G8" s="11">
        <f>AVERAGE(G2:G6)</f>
        <v>30.266666666666666</v>
      </c>
      <c r="H8" s="11">
        <f t="shared" ref="H8:I8" si="1">AVERAGE(H2:H6)</f>
        <v>28.406666666666666</v>
      </c>
      <c r="I8" s="2">
        <f t="shared" si="1"/>
        <v>0.16850000000000004</v>
      </c>
    </row>
    <row r="10" spans="1:9" x14ac:dyDescent="0.2">
      <c r="A10" t="s">
        <v>67</v>
      </c>
    </row>
    <row r="11" spans="1:9" x14ac:dyDescent="0.2">
      <c r="A11">
        <f>(G7*'Income Sheet'!G10 + 1036389)/46950</f>
        <v>147.9968362939297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6CE6-67CA-F946-B986-92AE77463A54}">
  <dimension ref="A1:B7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>
        <v>0.39</v>
      </c>
    </row>
    <row r="2" spans="1:2" x14ac:dyDescent="0.2">
      <c r="A2" t="s">
        <v>1</v>
      </c>
      <c r="B2">
        <v>0.28000000000000003</v>
      </c>
    </row>
    <row r="3" spans="1:2" x14ac:dyDescent="0.2">
      <c r="A3" t="s">
        <v>2</v>
      </c>
      <c r="B3">
        <v>0.22</v>
      </c>
    </row>
    <row r="4" spans="1:2" x14ac:dyDescent="0.2">
      <c r="A4" t="s">
        <v>3</v>
      </c>
      <c r="B4">
        <v>0.73</v>
      </c>
    </row>
    <row r="5" spans="1:2" x14ac:dyDescent="0.2">
      <c r="A5" t="s">
        <v>4</v>
      </c>
      <c r="B5">
        <v>0.21</v>
      </c>
    </row>
    <row r="6" spans="1:2" x14ac:dyDescent="0.2">
      <c r="A6" t="s">
        <v>5</v>
      </c>
      <c r="B6">
        <v>0.1</v>
      </c>
    </row>
    <row r="7" spans="1:2" x14ac:dyDescent="0.2">
      <c r="A7" t="s">
        <v>6</v>
      </c>
      <c r="B7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sheet tutorial</vt:lpstr>
      <vt:lpstr>Income Sheet</vt:lpstr>
      <vt:lpstr>Balance Sheet</vt:lpstr>
      <vt:lpstr>Cash Flow</vt:lpstr>
      <vt:lpstr>DCF</vt:lpstr>
      <vt:lpstr>Comps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Guan</dc:creator>
  <cp:lastModifiedBy>Austin Guan</cp:lastModifiedBy>
  <dcterms:created xsi:type="dcterms:W3CDTF">2026-06-17T04:29:00Z</dcterms:created>
  <dcterms:modified xsi:type="dcterms:W3CDTF">2026-06-30T23:28:20Z</dcterms:modified>
</cp:coreProperties>
</file>